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nclature tracker" sheetId="1" state="visible" r:id="rId3"/>
  </sheets>
  <definedNames>
    <definedName function="false" hidden="true" localSheetId="0" name="_xlnm._FilterDatabase" vbProcedure="false">'Nomenclature tracker'!$A$1:$F$58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<sst xmlns="http://schemas.openxmlformats.org/spreadsheetml/2006/main" count="169" uniqueCount="117">
  <si>
    <t xml:space="preserve">Composant</t>
  </si>
  <si>
    <t xml:space="preserve">Quantité</t>
  </si>
  <si>
    <t xml:space="preserve">Prix unitaire</t>
  </si>
  <si>
    <t xml:space="preserve">Prix</t>
  </si>
  <si>
    <t xml:space="preserve">Liens</t>
  </si>
  <si>
    <t xml:space="preserve">Remarque</t>
  </si>
  <si>
    <t xml:space="preserve">Processeur et liaison PC</t>
  </si>
  <si>
    <t xml:space="preserve">STM32H523RET6 (MCU Cortex-M33 250 MHz, LQFP64)</t>
  </si>
  <si>
    <t xml:space="preserve">Mouser</t>
  </si>
  <si>
    <t xml:space="preserve">Mouser. 1 par tracker + 1 de rechange</t>
  </si>
  <si>
    <t xml:space="preserve">Quartz 25 MHz 3225 – Abracon ABM8-25.000MHZ-B2-T</t>
  </si>
  <si>
    <t xml:space="preserve">Mouser. HSE pour l'USB, + 2 condensateurs de charge (voir passifs)</t>
  </si>
  <si>
    <t xml:space="preserve">Connecteur USB-C 16 broches – GCT USB4105-GF-A</t>
  </si>
  <si>
    <t xml:space="preserve">Mouser. Télémétrie vers le PC</t>
  </si>
  <si>
    <t xml:space="preserve">Protection ESD USB – ST USBLC6-2SC6</t>
  </si>
  <si>
    <t xml:space="preserve">Connecteur SWD 2×5 1,27 mm – Samtec FTSH-105-01-F-DV-K</t>
  </si>
  <si>
    <t xml:space="preserve">Mouser. Programmation / debug</t>
  </si>
  <si>
    <t xml:space="preserve">Bouton poussoir – C&amp;K PTS810 SJM 250 SMTR LFS</t>
  </si>
  <si>
    <t xml:space="preserve">Mouser. 5 par tracker : reset, BOOT0, 3 boutons de menu</t>
  </si>
  <si>
    <t xml:space="preserve">Radio de télémétrie</t>
  </si>
  <si>
    <t xml:space="preserve">Module LoRa 868 MHz – HopeRF RFM95W-868S2</t>
  </si>
  <si>
    <t xml:space="preserve">Vérifier la dispo Mouser ; sinon distributeur HopeRF / AliExpress. Version 868 MHz obligatoire en Europe</t>
  </si>
  <si>
    <t xml:space="preserve">Connecteur SMA bord de carte – Molex 73251-1150</t>
  </si>
  <si>
    <t xml:space="preserve">Mouser (538-73251-1150). 2 par tracker : radio + GNSS</t>
  </si>
  <si>
    <t xml:space="preserve">Antenne 868 MHz directive (Yagi ou patch), SMA</t>
  </si>
  <si>
    <t xml:space="preserve">Mouser si dispo, sinon AliExpress. Vérifier connecteur SMA (pas RP-SMA)</t>
  </si>
  <si>
    <t xml:space="preserve">Position et orientation</t>
  </si>
  <si>
    <t xml:space="preserve">Module GNSS – u-blox MAX-M10S</t>
  </si>
  <si>
    <t xml:space="preserve">Antenne GNSS active 1575 MHz, SMA</t>
  </si>
  <si>
    <t xml:space="preserve">Mouser. Antenne patch active avec câble</t>
  </si>
  <si>
    <t xml:space="preserve">Encodeur magnétique 14 bits – ams OSRAM AS5048A</t>
  </si>
  <si>
    <t xml:space="preserve">Mouser. 1 par axe (azimut + élévation)</t>
  </si>
  <si>
    <t xml:space="preserve">Aimant diamétral 6 × 2,5 mm (pour AS5048A)</t>
  </si>
  <si>
    <t xml:space="preserve">AliExpress</t>
  </si>
  <si>
    <t xml:space="preserve">AliExpress (pas chez Mouser). Aimanté diamétralement, pas axialement</t>
  </si>
  <si>
    <t xml:space="preserve">Magnétomètre – ST LIS3MDLTR</t>
  </si>
  <si>
    <t xml:space="preserve">Mouser. Nord au démarrage, placer à 15–20 cm des moteurs</t>
  </si>
  <si>
    <t xml:space="preserve">IMU – ST LSM6DSOTR</t>
  </si>
  <si>
    <t xml:space="preserve">Mouser. Mise à niveau de la base</t>
  </si>
  <si>
    <t xml:space="preserve">Motorisation</t>
  </si>
  <si>
    <t xml:space="preserve">Driver pas à pas – ADI Trinamic TMC2209-LA-T</t>
  </si>
  <si>
    <t xml:space="preserve">Mouser. 2 par tracker. Pad thermique à souder (four ou air chaud)</t>
  </si>
  <si>
    <t xml:space="preserve">Condensateur électrolytique CMS 100 µF 35 V</t>
  </si>
  <si>
    <t xml:space="preserve">Mouser. 1 par driver moteur</t>
  </si>
  <si>
    <t xml:space="preserve">Connecteur moteur JST-XH 4 broches – B4B-XH-A(LF)(SN)</t>
  </si>
  <si>
    <t xml:space="preserve">Mouser. + boîtiers XHP-4 et contacts côté câble</t>
  </si>
  <si>
    <t xml:space="preserve">Moteur pas à pas NEMA 17 ~40 N·cm 1,5 A (17HS4401)</t>
  </si>
  <si>
    <t xml:space="preserve">Amazon</t>
  </si>
  <si>
    <t xml:space="preserve">Amazon / AliExpress (pas chez Mouser)</t>
  </si>
  <si>
    <t xml:space="preserve">Réduction vis sans fin ou courroie GT2 (1:5 à 1:10)</t>
  </si>
  <si>
    <t xml:space="preserve">AliExpress ou impression 3D. Vis sans fin conseillée (bloque la tête sans courant)</t>
  </si>
  <si>
    <t xml:space="preserve">Alimentation</t>
  </si>
  <si>
    <t xml:space="preserve">Connecteur batterie XT60 pour CI (Amass XT60PW-M)</t>
  </si>
  <si>
    <t xml:space="preserve">AliExpress / Amazon (Amass peu présent chez Mouser)</t>
  </si>
  <si>
    <t xml:space="preserve">Fusible CMS 5 A</t>
  </si>
  <si>
    <t xml:space="preserve">Mouser. Protection de l'entrée 12 V</t>
  </si>
  <si>
    <t xml:space="preserve">MOSFET P 30 V SO-8 – AO4407A (protection d'inversion)</t>
  </si>
  <si>
    <t xml:space="preserve">Mouser si dispo, sinon équivalent MOSFET P 30 V ≥ 10 A en SO-8. 1 pour l'inversion + 1 pour le marche/arrêt</t>
  </si>
  <si>
    <t xml:space="preserve">Diode TVS – Littelfuse SMBJ24A</t>
  </si>
  <si>
    <t xml:space="preserve">Interrupteur à glissière – C&amp;K JS202011SCQN</t>
  </si>
  <si>
    <t xml:space="preserve">Mouser. Commande le MOSFET de marche/arrêt</t>
  </si>
  <si>
    <t xml:space="preserve">Convertisseur buck 3 A – TI TPS62933DRLR</t>
  </si>
  <si>
    <t xml:space="preserve">Mouser. 12 V → 5 V</t>
  </si>
  <si>
    <t xml:space="preserve">Inductance de puissance pour le TPS62933 (valeur selon datasheet, ≥ 3 A)</t>
  </si>
  <si>
    <t xml:space="preserve">Mouser. Valeur exacte à prendre dans la datasheet du TPS62933 pour 5 V</t>
  </si>
  <si>
    <t xml:space="preserve">LDO 3,3 V 1 A SOT-223 – TI TLV1117LV33DCYR</t>
  </si>
  <si>
    <t xml:space="preserve">Mouser. 5 V → 3,3 V numérique</t>
  </si>
  <si>
    <t xml:space="preserve">LDO faible bruit 3,3 V – TI TPS7A2033PDBVR</t>
  </si>
  <si>
    <t xml:space="preserve">Mouser. Rail capteurs (option)</t>
  </si>
  <si>
    <t xml:space="preserve">Fusible réarmable 0,5 A 1812 – Bourns MF-MSMF050-2</t>
  </si>
  <si>
    <t xml:space="preserve">Mouser. Sortie 12 V du RC832</t>
  </si>
  <si>
    <t xml:space="preserve">Ferrite 0603 – Murata BLM18PG221SN1D</t>
  </si>
  <si>
    <t xml:space="preserve">Mouser. Filtre du 12 V du RC832</t>
  </si>
  <si>
    <t xml:space="preserve">Connecteur 2 broches JST-XH – B2B-XH-A(LF)(SN)</t>
  </si>
  <si>
    <t xml:space="preserve">Mouser. Sortie 12 V vers le RC832</t>
  </si>
  <si>
    <t xml:space="preserve">Interface</t>
  </si>
  <si>
    <t xml:space="preserve">Buzzer magnétique – Same Sky CMT-8530S-SMT-TR</t>
  </si>
  <si>
    <t xml:space="preserve">MOSFET N – 2N7002-7-F (buzzer)</t>
  </si>
  <si>
    <t xml:space="preserve">Diode Schottky – BAT54-7-F (roue libre buzzer)</t>
  </si>
  <si>
    <t xml:space="preserve">LED CMS 0603 (vert, rouge, bleu)</t>
  </si>
  <si>
    <t xml:space="preserve">Mouser. 3 par tracker</t>
  </si>
  <si>
    <t xml:space="preserve">Écran OLED 1,3" I²C (SH1106), module</t>
  </si>
  <si>
    <t xml:space="preserve">Amazon / AliExpress (module prêt à brancher)</t>
  </si>
  <si>
    <t xml:space="preserve">Passifs (par lot)</t>
  </si>
  <si>
    <t xml:space="preserve">Condensateurs céramique 100 nF 0402/0603</t>
  </si>
  <si>
    <t xml:space="preserve">Mouser. Découplage (lot pour les 3 cartes)</t>
  </si>
  <si>
    <t xml:space="preserve">Condensateurs céramique 1 µF / 10 µF / 22 µF 0603/0805</t>
  </si>
  <si>
    <t xml:space="preserve">Mouser. Entrées/sorties des régulateurs, vérifier la tension (25 V côté 12 V)</t>
  </si>
  <si>
    <t xml:space="preserve">Condensateurs de charge du quartz (valeur selon ABM8)</t>
  </si>
  <si>
    <t xml:space="preserve">Mouser. Valeur calculée d'après la datasheet du quartz</t>
  </si>
  <si>
    <t xml:space="preserve">Résistances 0603 (5,1 k, 10 k, 100 k, 22 Ω, 1 k…)</t>
  </si>
  <si>
    <t xml:space="preserve">Mouser. CC USB-C, pont diviseur batterie, pull-up, LED</t>
  </si>
  <si>
    <t xml:space="preserve">Matériel hors carte</t>
  </si>
  <si>
    <t xml:space="preserve">Récepteur vidéo 5,8 GHz RC832 / RC832H 48 canaux</t>
  </si>
  <si>
    <t xml:space="preserve">AliExpress / Amazon. Vérifier SMA ou RP-SMA selon l'antenne 16 dBi</t>
  </si>
  <si>
    <t xml:space="preserve">Boîtier d'acquisition vidéo USB (RCA → USB)</t>
  </si>
  <si>
    <t xml:space="preserve">Amazon. Tester 1 exemplaire avant d'en commander 3 ; August VGB100 en alternative</t>
  </si>
  <si>
    <t xml:space="preserve">Batterie LiFePO4 12,8 V 6 à 10 Ah avec BMS</t>
  </si>
  <si>
    <t xml:space="preserve">Amazon. ~10 h d'autonomie avec 10 Ah</t>
  </si>
  <si>
    <t xml:space="preserve">Chargeur LiFePO4 14,6 V</t>
  </si>
  <si>
    <t xml:space="preserve">Câble SMA mâle-mâle court (10–15 cm)</t>
  </si>
  <si>
    <t xml:space="preserve">AliExpress. Antenne 16 dBi → RC832, le plus court possible</t>
  </si>
  <si>
    <t xml:space="preserve">Câble AV (RCA) 2–3 m</t>
  </si>
  <si>
    <t xml:space="preserve">Amazon. RC832 → boîtier d'acquisition</t>
  </si>
  <si>
    <t xml:space="preserve">Câble USB-C 2–3 m</t>
  </si>
  <si>
    <t xml:space="preserve">Amazon. Carte tracker → PC</t>
  </si>
  <si>
    <t xml:space="preserve">Fabrication PCB 4 couches (JLCPCB, lot de 5)</t>
  </si>
  <si>
    <t xml:space="preserve">JLCPCB</t>
  </si>
  <si>
    <t xml:space="preserve">JLCPCB. Prix indicatif, dépend de la taille</t>
  </si>
  <si>
    <t xml:space="preserve">TOTAL (estimé)</t>
  </si>
  <si>
    <t xml:space="preserve">Par tracker (≈ total ÷ 3)</t>
  </si>
  <si>
    <t xml:space="preserve">Notes :</t>
  </si>
  <si>
    <t xml:space="preserve">• Quantités totales pour 3 trackers, avec quelques pièces de rechange sur les composants fragiles ou petits.</t>
  </si>
  <si>
    <t xml:space="preserve">• Prix unitaires = estimations (en bleu), à vérifier et corriger sur Mouser au moment de la commande ; le prix total se recalcule automatiquement.</t>
  </si>
  <si>
    <t xml:space="preserve">• Les liens Mouser sont des recherches par référence : vérifier le boîtier et le conditionnement (bande découpée) avant d'ajouter au panier.</t>
  </si>
  <si>
    <t xml:space="preserve">• Mouser en priorité ; les éléments FPV, mécaniques et batteries ne sont pas vendus par Mouser (AliExpress / Amazon).</t>
  </si>
  <si>
    <t xml:space="preserve">• Passifs : valeurs à finaliser avec le schéma ; les quantités sont des lots.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</si>
</sst>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3F315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8080"/>
      </patternFill>
    </fill>
    <fill>
      <patternFill patternType="solid">
        <fgColor rgb="FFE4DF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064A2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315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fr/c/?q=STM32H523RET6" TargetMode="External"/><Relationship Id="rId2" Type="http://schemas.openxmlformats.org/officeDocument/2006/relationships/hyperlink" Target="https://www.mouser.fr/c/?q=ABM8-25.000MHZ-B2-T" TargetMode="External"/><Relationship Id="rId3" Type="http://schemas.openxmlformats.org/officeDocument/2006/relationships/hyperlink" Target="https://www.mouser.fr/c/?q=USB4105-GF-A" TargetMode="External"/><Relationship Id="rId4" Type="http://schemas.openxmlformats.org/officeDocument/2006/relationships/hyperlink" Target="https://www.mouser.fr/c/?q=USBLC6-2SC6" TargetMode="External"/><Relationship Id="rId5" Type="http://schemas.openxmlformats.org/officeDocument/2006/relationships/hyperlink" Target="https://www.mouser.fr/c/?q=FTSH-105-01-F-DV-K" TargetMode="External"/><Relationship Id="rId6" Type="http://schemas.openxmlformats.org/officeDocument/2006/relationships/hyperlink" Target="https://www.mouser.fr/c/?q=PTS810SJM250SMTRLFS" TargetMode="External"/><Relationship Id="rId7" Type="http://schemas.openxmlformats.org/officeDocument/2006/relationships/hyperlink" Target="https://www.mouser.fr/c/?q=RFM95W" TargetMode="External"/><Relationship Id="rId8" Type="http://schemas.openxmlformats.org/officeDocument/2006/relationships/hyperlink" Target="https://www.mouser.fr/c/?q=73251-1150" TargetMode="External"/><Relationship Id="rId9" Type="http://schemas.openxmlformats.org/officeDocument/2006/relationships/hyperlink" Target="https://www.mouser.fr/c/?q=868+MHz+antenna+directional+SMA" TargetMode="External"/><Relationship Id="rId10" Type="http://schemas.openxmlformats.org/officeDocument/2006/relationships/hyperlink" Target="https://www.mouser.fr/c/?q=MAX-M10S" TargetMode="External"/><Relationship Id="rId11" Type="http://schemas.openxmlformats.org/officeDocument/2006/relationships/hyperlink" Target="https://www.mouser.fr/c/?q=active+GNSS+antenna+SMA" TargetMode="External"/><Relationship Id="rId12" Type="http://schemas.openxmlformats.org/officeDocument/2006/relationships/hyperlink" Target="https://www.mouser.fr/c/?q=AS5048A" TargetMode="External"/><Relationship Id="rId13" Type="http://schemas.openxmlformats.org/officeDocument/2006/relationships/hyperlink" Target="https://www.aliexpress.com/wholesale?SearchText=diametric+magnet+6x2.5mm+AS5048" TargetMode="External"/><Relationship Id="rId14" Type="http://schemas.openxmlformats.org/officeDocument/2006/relationships/hyperlink" Target="https://www.mouser.fr/c/?q=LIS3MDLTR" TargetMode="External"/><Relationship Id="rId15" Type="http://schemas.openxmlformats.org/officeDocument/2006/relationships/hyperlink" Target="https://www.mouser.fr/c/?q=LSM6DSOTR" TargetMode="External"/><Relationship Id="rId16" Type="http://schemas.openxmlformats.org/officeDocument/2006/relationships/hyperlink" Target="https://www.mouser.fr/c/?q=TMC2209-LA-T" TargetMode="External"/><Relationship Id="rId17" Type="http://schemas.openxmlformats.org/officeDocument/2006/relationships/hyperlink" Target="https://www.mouser.fr/c/?q=100uF+35V+aluminum+electrolytic+SMD" TargetMode="External"/><Relationship Id="rId18" Type="http://schemas.openxmlformats.org/officeDocument/2006/relationships/hyperlink" Target="https://www.mouser.fr/c/?q=B4B-XH-A%28LF%29%28SN%29" TargetMode="External"/><Relationship Id="rId19" Type="http://schemas.openxmlformats.org/officeDocument/2006/relationships/hyperlink" Target="https://www.amazon.fr/s?k=NEMA+17+17HS4401" TargetMode="External"/><Relationship Id="rId20" Type="http://schemas.openxmlformats.org/officeDocument/2006/relationships/hyperlink" Target="https://www.aliexpress.com/wholesale?SearchText=worm+gear+reducer+NEMA+17" TargetMode="External"/><Relationship Id="rId21" Type="http://schemas.openxmlformats.org/officeDocument/2006/relationships/hyperlink" Target="https://www.aliexpress.com/wholesale?SearchText=XT60PW-M" TargetMode="External"/><Relationship Id="rId22" Type="http://schemas.openxmlformats.org/officeDocument/2006/relationships/hyperlink" Target="https://www.mouser.fr/c/?q=fuse+5A+SMD" TargetMode="External"/><Relationship Id="rId23" Type="http://schemas.openxmlformats.org/officeDocument/2006/relationships/hyperlink" Target="https://www.mouser.fr/c/?q=AO4407A" TargetMode="External"/><Relationship Id="rId24" Type="http://schemas.openxmlformats.org/officeDocument/2006/relationships/hyperlink" Target="https://www.mouser.fr/c/?q=SMBJ24A" TargetMode="External"/><Relationship Id="rId25" Type="http://schemas.openxmlformats.org/officeDocument/2006/relationships/hyperlink" Target="https://www.mouser.fr/c/?q=JS202011SCQN" TargetMode="External"/><Relationship Id="rId26" Type="http://schemas.openxmlformats.org/officeDocument/2006/relationships/hyperlink" Target="https://www.mouser.fr/c/?q=TPS62933DRLR" TargetMode="External"/><Relationship Id="rId27" Type="http://schemas.openxmlformats.org/officeDocument/2006/relationships/hyperlink" Target="https://www.mouser.fr/c/?q=power+inductor+6.8uH+3A+shielded" TargetMode="External"/><Relationship Id="rId28" Type="http://schemas.openxmlformats.org/officeDocument/2006/relationships/hyperlink" Target="https://www.mouser.fr/c/?q=TLV1117LV33DCYR" TargetMode="External"/><Relationship Id="rId29" Type="http://schemas.openxmlformats.org/officeDocument/2006/relationships/hyperlink" Target="https://www.mouser.fr/c/?q=TPS7A2033PDBVR" TargetMode="External"/><Relationship Id="rId30" Type="http://schemas.openxmlformats.org/officeDocument/2006/relationships/hyperlink" Target="https://www.mouser.fr/c/?q=MF-MSMF050-2" TargetMode="External"/><Relationship Id="rId31" Type="http://schemas.openxmlformats.org/officeDocument/2006/relationships/hyperlink" Target="https://www.mouser.fr/c/?q=BLM18PG221SN1D" TargetMode="External"/><Relationship Id="rId32" Type="http://schemas.openxmlformats.org/officeDocument/2006/relationships/hyperlink" Target="https://www.mouser.fr/c/?q=B2B-XH-A%28LF%29%28SN%29" TargetMode="External"/><Relationship Id="rId33" Type="http://schemas.openxmlformats.org/officeDocument/2006/relationships/hyperlink" Target="https://www.mouser.fr/c/?q=CMT-8530S-SMT-TR" TargetMode="External"/><Relationship Id="rId34" Type="http://schemas.openxmlformats.org/officeDocument/2006/relationships/hyperlink" Target="https://www.mouser.fr/c/?q=2N7002-7-F" TargetMode="External"/><Relationship Id="rId35" Type="http://schemas.openxmlformats.org/officeDocument/2006/relationships/hyperlink" Target="https://www.mouser.fr/c/?q=BAT54-7-F" TargetMode="External"/><Relationship Id="rId36" Type="http://schemas.openxmlformats.org/officeDocument/2006/relationships/hyperlink" Target="https://www.mouser.fr/c/?q=LED+0603" TargetMode="External"/><Relationship Id="rId37" Type="http://schemas.openxmlformats.org/officeDocument/2006/relationships/hyperlink" Target="https://www.amazon.fr/s?k=OLED+1.3+SH1106+I2C" TargetMode="External"/><Relationship Id="rId38" Type="http://schemas.openxmlformats.org/officeDocument/2006/relationships/hyperlink" Target="https://www.mouser.fr/c/?q=100nF+0603+X7R" TargetMode="External"/><Relationship Id="rId39" Type="http://schemas.openxmlformats.org/officeDocument/2006/relationships/hyperlink" Target="https://www.mouser.fr/c/?q=10uF+0805+X5R+25V" TargetMode="External"/><Relationship Id="rId40" Type="http://schemas.openxmlformats.org/officeDocument/2006/relationships/hyperlink" Target="https://www.mouser.fr/c/?q=0402+C0G+capacitor" TargetMode="External"/><Relationship Id="rId41" Type="http://schemas.openxmlformats.org/officeDocument/2006/relationships/hyperlink" Target="https://www.mouser.fr/c/?q=0603+resistor+1%25" TargetMode="External"/><Relationship Id="rId42" Type="http://schemas.openxmlformats.org/officeDocument/2006/relationships/hyperlink" Target="https://www.aliexpress.com/wholesale?SearchText=RC832+5.8G+receiver" TargetMode="External"/><Relationship Id="rId43" Type="http://schemas.openxmlformats.org/officeDocument/2006/relationships/hyperlink" Target="https://www.amazon.fr/s?k=convertisseur+VHS+num&#233;rique+USB" TargetMode="External"/><Relationship Id="rId44" Type="http://schemas.openxmlformats.org/officeDocument/2006/relationships/hyperlink" Target="https://www.amazon.fr/s?k=batterie+LiFePO4+12V+10Ah" TargetMode="External"/><Relationship Id="rId45" Type="http://schemas.openxmlformats.org/officeDocument/2006/relationships/hyperlink" Target="https://www.amazon.fr/s?k=chargeur+LiFePO4+14.6V" TargetMode="External"/><Relationship Id="rId46" Type="http://schemas.openxmlformats.org/officeDocument/2006/relationships/hyperlink" Target="https://www.aliexpress.com/wholesale?SearchText=SMA+cable+RG316+15cm" TargetMode="External"/><Relationship Id="rId47" Type="http://schemas.openxmlformats.org/officeDocument/2006/relationships/hyperlink" Target="https://www.amazon.fr/s?k=c&#226;ble+RCA+3m" TargetMode="External"/><Relationship Id="rId48" Type="http://schemas.openxmlformats.org/officeDocument/2006/relationships/hyperlink" Target="https://www.amazon.fr/s?k=c&#226;ble+USB+C+3m" TargetMode="External"/><Relationship Id="rId49" Type="http://schemas.openxmlformats.org/officeDocument/2006/relationships/hyperlink" Target="https://jlcpcb.com/" TargetMode="External"/><Relationship Id="rId5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7</v>
      </c>
      <c r="B3" s="5" t="n">
        <v>4</v>
      </c>
      <c r="C3" s="6" t="n">
        <v>5.5</v>
      </c>
      <c r="D3" s="7" t="n">
        <f aca="false">B3*C3</f>
        <v>22</v>
      </c>
      <c r="E3" s="8" t="s">
        <v>8</v>
      </c>
      <c r="F3" s="4" t="s">
        <v>9</v>
      </c>
    </row>
    <row r="4" customFormat="false" ht="15" hidden="false" customHeight="false" outlineLevel="0" collapsed="false">
      <c r="A4" s="4" t="s">
        <v>10</v>
      </c>
      <c r="B4" s="5" t="n">
        <v>4</v>
      </c>
      <c r="C4" s="6" t="n">
        <v>0.6</v>
      </c>
      <c r="D4" s="7" t="n">
        <f aca="false">B4*C4</f>
        <v>2.4</v>
      </c>
      <c r="E4" s="8" t="s">
        <v>8</v>
      </c>
      <c r="F4" s="4" t="s">
        <v>11</v>
      </c>
    </row>
    <row r="5" customFormat="false" ht="15" hidden="false" customHeight="false" outlineLevel="0" collapsed="false">
      <c r="A5" s="4" t="s">
        <v>12</v>
      </c>
      <c r="B5" s="5" t="n">
        <v>4</v>
      </c>
      <c r="C5" s="6" t="n">
        <v>0.8</v>
      </c>
      <c r="D5" s="7" t="n">
        <f aca="false">B5*C5</f>
        <v>3.2</v>
      </c>
      <c r="E5" s="8" t="s">
        <v>8</v>
      </c>
      <c r="F5" s="4" t="s">
        <v>13</v>
      </c>
    </row>
    <row r="6" customFormat="false" ht="15" hidden="false" customHeight="false" outlineLevel="0" collapsed="false">
      <c r="A6" s="4" t="s">
        <v>14</v>
      </c>
      <c r="B6" s="5" t="n">
        <v>4</v>
      </c>
      <c r="C6" s="6" t="n">
        <v>0.45</v>
      </c>
      <c r="D6" s="7" t="n">
        <f aca="false">B6*C6</f>
        <v>1.8</v>
      </c>
      <c r="E6" s="8" t="s">
        <v>8</v>
      </c>
      <c r="F6" s="4" t="s">
        <v>8</v>
      </c>
    </row>
    <row r="7" customFormat="false" ht="15" hidden="false" customHeight="false" outlineLevel="0" collapsed="false">
      <c r="A7" s="4" t="s">
        <v>15</v>
      </c>
      <c r="B7" s="5" t="n">
        <v>3</v>
      </c>
      <c r="C7" s="6" t="n">
        <v>2.5</v>
      </c>
      <c r="D7" s="7" t="n">
        <f aca="false">B7*C7</f>
        <v>7.5</v>
      </c>
      <c r="E7" s="8" t="s">
        <v>8</v>
      </c>
      <c r="F7" s="4" t="s">
        <v>16</v>
      </c>
    </row>
    <row r="8" customFormat="false" ht="15" hidden="false" customHeight="false" outlineLevel="0" collapsed="false">
      <c r="A8" s="4" t="s">
        <v>17</v>
      </c>
      <c r="B8" s="5" t="n">
        <v>15</v>
      </c>
      <c r="C8" s="6" t="n">
        <v>0.3</v>
      </c>
      <c r="D8" s="7" t="n">
        <f aca="false">B8*C8</f>
        <v>4.5</v>
      </c>
      <c r="E8" s="8" t="s">
        <v>8</v>
      </c>
      <c r="F8" s="4" t="s">
        <v>18</v>
      </c>
    </row>
    <row r="9" customFormat="false" ht="15" hidden="false" customHeight="false" outlineLevel="0" collapsed="false">
      <c r="A9" s="2" t="s">
        <v>19</v>
      </c>
      <c r="B9" s="3"/>
      <c r="C9" s="3"/>
      <c r="D9" s="3"/>
      <c r="E9" s="3"/>
      <c r="F9" s="3"/>
    </row>
    <row r="10" customFormat="false" ht="26.85" hidden="false" customHeight="false" outlineLevel="0" collapsed="false">
      <c r="A10" s="4" t="s">
        <v>20</v>
      </c>
      <c r="B10" s="5" t="n">
        <v>4</v>
      </c>
      <c r="C10" s="6" t="n">
        <v>8</v>
      </c>
      <c r="D10" s="7" t="n">
        <f aca="false">B10*C10</f>
        <v>32</v>
      </c>
      <c r="E10" s="8" t="s">
        <v>8</v>
      </c>
      <c r="F10" s="4" t="s">
        <v>21</v>
      </c>
    </row>
    <row r="11" customFormat="false" ht="15" hidden="false" customHeight="false" outlineLevel="0" collapsed="false">
      <c r="A11" s="4" t="s">
        <v>22</v>
      </c>
      <c r="B11" s="5" t="n">
        <v>8</v>
      </c>
      <c r="C11" s="6" t="n">
        <v>4</v>
      </c>
      <c r="D11" s="7" t="n">
        <f aca="false">B11*C11</f>
        <v>32</v>
      </c>
      <c r="E11" s="8" t="s">
        <v>8</v>
      </c>
      <c r="F11" s="4" t="s">
        <v>23</v>
      </c>
    </row>
    <row r="12" customFormat="false" ht="15" hidden="false" customHeight="false" outlineLevel="0" collapsed="false">
      <c r="A12" s="4" t="s">
        <v>24</v>
      </c>
      <c r="B12" s="5" t="n">
        <v>3</v>
      </c>
      <c r="C12" s="6" t="n">
        <v>30</v>
      </c>
      <c r="D12" s="7" t="n">
        <f aca="false">B12*C12</f>
        <v>90</v>
      </c>
      <c r="E12" s="8" t="s">
        <v>8</v>
      </c>
      <c r="F12" s="4" t="s">
        <v>25</v>
      </c>
    </row>
    <row r="13" customFormat="false" ht="15" hidden="false" customHeight="false" outlineLevel="0" collapsed="false">
      <c r="A13" s="2" t="s">
        <v>26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27</v>
      </c>
      <c r="B14" s="5" t="n">
        <v>3</v>
      </c>
      <c r="C14" s="6" t="n">
        <v>14</v>
      </c>
      <c r="D14" s="7" t="n">
        <f aca="false">B14*C14</f>
        <v>42</v>
      </c>
      <c r="E14" s="8" t="s">
        <v>8</v>
      </c>
      <c r="F14" s="4" t="s">
        <v>8</v>
      </c>
    </row>
    <row r="15" customFormat="false" ht="15" hidden="false" customHeight="false" outlineLevel="0" collapsed="false">
      <c r="A15" s="4" t="s">
        <v>28</v>
      </c>
      <c r="B15" s="5" t="n">
        <v>3</v>
      </c>
      <c r="C15" s="6" t="n">
        <v>10</v>
      </c>
      <c r="D15" s="7" t="n">
        <f aca="false">B15*C15</f>
        <v>30</v>
      </c>
      <c r="E15" s="8" t="s">
        <v>8</v>
      </c>
      <c r="F15" s="4" t="s">
        <v>29</v>
      </c>
    </row>
    <row r="16" customFormat="false" ht="15" hidden="false" customHeight="false" outlineLevel="0" collapsed="false">
      <c r="A16" s="4" t="s">
        <v>30</v>
      </c>
      <c r="B16" s="5" t="n">
        <v>6</v>
      </c>
      <c r="C16" s="6" t="n">
        <v>7</v>
      </c>
      <c r="D16" s="7" t="n">
        <f aca="false">B16*C16</f>
        <v>42</v>
      </c>
      <c r="E16" s="8" t="s">
        <v>8</v>
      </c>
      <c r="F16" s="4" t="s">
        <v>31</v>
      </c>
    </row>
    <row r="17" customFormat="false" ht="15" hidden="false" customHeight="false" outlineLevel="0" collapsed="false">
      <c r="A17" s="4" t="s">
        <v>32</v>
      </c>
      <c r="B17" s="5" t="n">
        <v>8</v>
      </c>
      <c r="C17" s="6" t="n">
        <v>1</v>
      </c>
      <c r="D17" s="7" t="n">
        <f aca="false">B17*C17</f>
        <v>8</v>
      </c>
      <c r="E17" s="8" t="s">
        <v>33</v>
      </c>
      <c r="F17" s="4" t="s">
        <v>34</v>
      </c>
    </row>
    <row r="18" customFormat="false" ht="15" hidden="false" customHeight="false" outlineLevel="0" collapsed="false">
      <c r="A18" s="4" t="s">
        <v>35</v>
      </c>
      <c r="B18" s="5" t="n">
        <v>3</v>
      </c>
      <c r="C18" s="6" t="n">
        <v>2.5</v>
      </c>
      <c r="D18" s="7" t="n">
        <f aca="false">B18*C18</f>
        <v>7.5</v>
      </c>
      <c r="E18" s="8" t="s">
        <v>8</v>
      </c>
      <c r="F18" s="4" t="s">
        <v>36</v>
      </c>
    </row>
    <row r="19" customFormat="false" ht="15" hidden="false" customHeight="false" outlineLevel="0" collapsed="false">
      <c r="A19" s="4" t="s">
        <v>37</v>
      </c>
      <c r="B19" s="5" t="n">
        <v>3</v>
      </c>
      <c r="C19" s="6" t="n">
        <v>3.5</v>
      </c>
      <c r="D19" s="7" t="n">
        <f aca="false">B19*C19</f>
        <v>10.5</v>
      </c>
      <c r="E19" s="8" t="s">
        <v>8</v>
      </c>
      <c r="F19" s="4" t="s">
        <v>38</v>
      </c>
    </row>
    <row r="20" customFormat="false" ht="15" hidden="false" customHeight="false" outlineLevel="0" collapsed="false">
      <c r="A20" s="2" t="s">
        <v>39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40</v>
      </c>
      <c r="B21" s="5" t="n">
        <v>7</v>
      </c>
      <c r="C21" s="6" t="n">
        <v>4.5</v>
      </c>
      <c r="D21" s="7" t="n">
        <f aca="false">B21*C21</f>
        <v>31.5</v>
      </c>
      <c r="E21" s="8" t="s">
        <v>8</v>
      </c>
      <c r="F21" s="4" t="s">
        <v>41</v>
      </c>
    </row>
    <row r="22" customFormat="false" ht="15" hidden="false" customHeight="false" outlineLevel="0" collapsed="false">
      <c r="A22" s="4" t="s">
        <v>42</v>
      </c>
      <c r="B22" s="5" t="n">
        <v>8</v>
      </c>
      <c r="C22" s="6" t="n">
        <v>0.5</v>
      </c>
      <c r="D22" s="7" t="n">
        <f aca="false">B22*C22</f>
        <v>4</v>
      </c>
      <c r="E22" s="8" t="s">
        <v>8</v>
      </c>
      <c r="F22" s="4" t="s">
        <v>43</v>
      </c>
    </row>
    <row r="23" customFormat="false" ht="15" hidden="false" customHeight="false" outlineLevel="0" collapsed="false">
      <c r="A23" s="4" t="s">
        <v>44</v>
      </c>
      <c r="B23" s="5" t="n">
        <v>6</v>
      </c>
      <c r="C23" s="6" t="n">
        <v>0.2</v>
      </c>
      <c r="D23" s="7" t="n">
        <f aca="false">B23*C23</f>
        <v>1.2</v>
      </c>
      <c r="E23" s="8" t="s">
        <v>8</v>
      </c>
      <c r="F23" s="4" t="s">
        <v>45</v>
      </c>
    </row>
    <row r="24" customFormat="false" ht="15" hidden="false" customHeight="false" outlineLevel="0" collapsed="false">
      <c r="A24" s="4" t="s">
        <v>46</v>
      </c>
      <c r="B24" s="5" t="n">
        <v>6</v>
      </c>
      <c r="C24" s="6" t="n">
        <v>12</v>
      </c>
      <c r="D24" s="7" t="n">
        <f aca="false">B24*C24</f>
        <v>72</v>
      </c>
      <c r="E24" s="8" t="s">
        <v>47</v>
      </c>
      <c r="F24" s="4" t="s">
        <v>48</v>
      </c>
    </row>
    <row r="25" customFormat="false" ht="15" hidden="false" customHeight="false" outlineLevel="0" collapsed="false">
      <c r="A25" s="4" t="s">
        <v>49</v>
      </c>
      <c r="B25" s="5" t="n">
        <v>6</v>
      </c>
      <c r="C25" s="6" t="n">
        <v>15</v>
      </c>
      <c r="D25" s="7" t="n">
        <f aca="false">B25*C25</f>
        <v>90</v>
      </c>
      <c r="E25" s="8" t="s">
        <v>33</v>
      </c>
      <c r="F25" s="4" t="s">
        <v>50</v>
      </c>
    </row>
    <row r="26" customFormat="false" ht="15" hidden="false" customHeight="false" outlineLevel="0" collapsed="false">
      <c r="A26" s="2" t="s">
        <v>51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4" t="s">
        <v>52</v>
      </c>
      <c r="B27" s="5" t="n">
        <v>3</v>
      </c>
      <c r="C27" s="6" t="n">
        <v>1</v>
      </c>
      <c r="D27" s="7" t="n">
        <f aca="false">B27*C27</f>
        <v>3</v>
      </c>
      <c r="E27" s="8" t="s">
        <v>33</v>
      </c>
      <c r="F27" s="4" t="s">
        <v>53</v>
      </c>
    </row>
    <row r="28" customFormat="false" ht="15" hidden="false" customHeight="false" outlineLevel="0" collapsed="false">
      <c r="A28" s="4" t="s">
        <v>54</v>
      </c>
      <c r="B28" s="5" t="n">
        <v>5</v>
      </c>
      <c r="C28" s="6" t="n">
        <v>0.5</v>
      </c>
      <c r="D28" s="7" t="n">
        <f aca="false">B28*C28</f>
        <v>2.5</v>
      </c>
      <c r="E28" s="8" t="s">
        <v>8</v>
      </c>
      <c r="F28" s="4" t="s">
        <v>55</v>
      </c>
    </row>
    <row r="29" customFormat="false" ht="26.85" hidden="false" customHeight="false" outlineLevel="0" collapsed="false">
      <c r="A29" s="4" t="s">
        <v>56</v>
      </c>
      <c r="B29" s="5" t="n">
        <v>6</v>
      </c>
      <c r="C29" s="6" t="n">
        <v>0.5</v>
      </c>
      <c r="D29" s="7" t="n">
        <f aca="false">B29*C29</f>
        <v>3</v>
      </c>
      <c r="E29" s="8" t="s">
        <v>8</v>
      </c>
      <c r="F29" s="4" t="s">
        <v>57</v>
      </c>
    </row>
    <row r="30" customFormat="false" ht="15" hidden="false" customHeight="false" outlineLevel="0" collapsed="false">
      <c r="A30" s="4" t="s">
        <v>58</v>
      </c>
      <c r="B30" s="5" t="n">
        <v>3</v>
      </c>
      <c r="C30" s="6" t="n">
        <v>0.3</v>
      </c>
      <c r="D30" s="7" t="n">
        <f aca="false">B30*C30</f>
        <v>0.9</v>
      </c>
      <c r="E30" s="8" t="s">
        <v>8</v>
      </c>
      <c r="F30" s="4" t="s">
        <v>8</v>
      </c>
    </row>
    <row r="31" customFormat="false" ht="15" hidden="false" customHeight="false" outlineLevel="0" collapsed="false">
      <c r="A31" s="4" t="s">
        <v>59</v>
      </c>
      <c r="B31" s="5" t="n">
        <v>3</v>
      </c>
      <c r="C31" s="6" t="n">
        <v>0.6</v>
      </c>
      <c r="D31" s="7" t="n">
        <f aca="false">B31*C31</f>
        <v>1.8</v>
      </c>
      <c r="E31" s="8" t="s">
        <v>8</v>
      </c>
      <c r="F31" s="4" t="s">
        <v>60</v>
      </c>
    </row>
    <row r="32" customFormat="false" ht="15" hidden="false" customHeight="false" outlineLevel="0" collapsed="false">
      <c r="A32" s="4" t="s">
        <v>61</v>
      </c>
      <c r="B32" s="5" t="n">
        <v>4</v>
      </c>
      <c r="C32" s="6" t="n">
        <v>1.5</v>
      </c>
      <c r="D32" s="7" t="n">
        <f aca="false">B32*C32</f>
        <v>6</v>
      </c>
      <c r="E32" s="8" t="s">
        <v>8</v>
      </c>
      <c r="F32" s="4" t="s">
        <v>62</v>
      </c>
    </row>
    <row r="33" customFormat="false" ht="26.85" hidden="false" customHeight="false" outlineLevel="0" collapsed="false">
      <c r="A33" s="4" t="s">
        <v>63</v>
      </c>
      <c r="B33" s="5" t="n">
        <v>4</v>
      </c>
      <c r="C33" s="6" t="n">
        <v>0.8</v>
      </c>
      <c r="D33" s="7" t="n">
        <f aca="false">B33*C33</f>
        <v>3.2</v>
      </c>
      <c r="E33" s="8" t="s">
        <v>8</v>
      </c>
      <c r="F33" s="4" t="s">
        <v>64</v>
      </c>
    </row>
    <row r="34" customFormat="false" ht="15" hidden="false" customHeight="false" outlineLevel="0" collapsed="false">
      <c r="A34" s="4" t="s">
        <v>65</v>
      </c>
      <c r="B34" s="5" t="n">
        <v>4</v>
      </c>
      <c r="C34" s="6" t="n">
        <v>0.5</v>
      </c>
      <c r="D34" s="7" t="n">
        <f aca="false">B34*C34</f>
        <v>2</v>
      </c>
      <c r="E34" s="8" t="s">
        <v>8</v>
      </c>
      <c r="F34" s="4" t="s">
        <v>66</v>
      </c>
    </row>
    <row r="35" customFormat="false" ht="15" hidden="false" customHeight="false" outlineLevel="0" collapsed="false">
      <c r="A35" s="4" t="s">
        <v>67</v>
      </c>
      <c r="B35" s="5" t="n">
        <v>4</v>
      </c>
      <c r="C35" s="6" t="n">
        <v>0.8</v>
      </c>
      <c r="D35" s="7" t="n">
        <f aca="false">B35*C35</f>
        <v>3.2</v>
      </c>
      <c r="E35" s="8" t="s">
        <v>8</v>
      </c>
      <c r="F35" s="4" t="s">
        <v>68</v>
      </c>
    </row>
    <row r="36" customFormat="false" ht="15" hidden="false" customHeight="false" outlineLevel="0" collapsed="false">
      <c r="A36" s="4" t="s">
        <v>69</v>
      </c>
      <c r="B36" s="5" t="n">
        <v>4</v>
      </c>
      <c r="C36" s="6" t="n">
        <v>0.3</v>
      </c>
      <c r="D36" s="7" t="n">
        <f aca="false">B36*C36</f>
        <v>1.2</v>
      </c>
      <c r="E36" s="8" t="s">
        <v>8</v>
      </c>
      <c r="F36" s="4" t="s">
        <v>70</v>
      </c>
    </row>
    <row r="37" customFormat="false" ht="15" hidden="false" customHeight="false" outlineLevel="0" collapsed="false">
      <c r="A37" s="4" t="s">
        <v>71</v>
      </c>
      <c r="B37" s="5" t="n">
        <v>6</v>
      </c>
      <c r="C37" s="6" t="n">
        <v>0.1</v>
      </c>
      <c r="D37" s="7" t="n">
        <f aca="false">B37*C37</f>
        <v>0.6</v>
      </c>
      <c r="E37" s="8" t="s">
        <v>8</v>
      </c>
      <c r="F37" s="4" t="s">
        <v>72</v>
      </c>
    </row>
    <row r="38" customFormat="false" ht="15" hidden="false" customHeight="false" outlineLevel="0" collapsed="false">
      <c r="A38" s="4" t="s">
        <v>73</v>
      </c>
      <c r="B38" s="5" t="n">
        <v>3</v>
      </c>
      <c r="C38" s="6" t="n">
        <v>0.15</v>
      </c>
      <c r="D38" s="7" t="n">
        <f aca="false">B38*C38</f>
        <v>0.45</v>
      </c>
      <c r="E38" s="8" t="s">
        <v>8</v>
      </c>
      <c r="F38" s="4" t="s">
        <v>74</v>
      </c>
    </row>
    <row r="39" customFormat="false" ht="15" hidden="false" customHeight="false" outlineLevel="0" collapsed="false">
      <c r="A39" s="2" t="s">
        <v>75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4" t="s">
        <v>76</v>
      </c>
      <c r="B40" s="5" t="n">
        <v>3</v>
      </c>
      <c r="C40" s="6" t="n">
        <v>1.2</v>
      </c>
      <c r="D40" s="7" t="n">
        <f aca="false">B40*C40</f>
        <v>3.6</v>
      </c>
      <c r="E40" s="8" t="s">
        <v>8</v>
      </c>
      <c r="F40" s="4" t="s">
        <v>8</v>
      </c>
    </row>
    <row r="41" customFormat="false" ht="15" hidden="false" customHeight="false" outlineLevel="0" collapsed="false">
      <c r="A41" s="4" t="s">
        <v>77</v>
      </c>
      <c r="B41" s="5" t="n">
        <v>5</v>
      </c>
      <c r="C41" s="6" t="n">
        <v>0.1</v>
      </c>
      <c r="D41" s="7" t="n">
        <f aca="false">B41*C41</f>
        <v>0.5</v>
      </c>
      <c r="E41" s="8" t="s">
        <v>8</v>
      </c>
      <c r="F41" s="4" t="s">
        <v>8</v>
      </c>
    </row>
    <row r="42" customFormat="false" ht="15" hidden="false" customHeight="false" outlineLevel="0" collapsed="false">
      <c r="A42" s="4" t="s">
        <v>78</v>
      </c>
      <c r="B42" s="5" t="n">
        <v>5</v>
      </c>
      <c r="C42" s="6" t="n">
        <v>0.1</v>
      </c>
      <c r="D42" s="7" t="n">
        <f aca="false">B42*C42</f>
        <v>0.5</v>
      </c>
      <c r="E42" s="8" t="s">
        <v>8</v>
      </c>
      <c r="F42" s="4" t="s">
        <v>8</v>
      </c>
    </row>
    <row r="43" customFormat="false" ht="15" hidden="false" customHeight="false" outlineLevel="0" collapsed="false">
      <c r="A43" s="4" t="s">
        <v>79</v>
      </c>
      <c r="B43" s="5" t="n">
        <v>12</v>
      </c>
      <c r="C43" s="6" t="n">
        <v>0.15</v>
      </c>
      <c r="D43" s="7" t="n">
        <f aca="false">B43*C43</f>
        <v>1.8</v>
      </c>
      <c r="E43" s="8" t="s">
        <v>8</v>
      </c>
      <c r="F43" s="4" t="s">
        <v>80</v>
      </c>
    </row>
    <row r="44" customFormat="false" ht="15" hidden="false" customHeight="false" outlineLevel="0" collapsed="false">
      <c r="A44" s="4" t="s">
        <v>81</v>
      </c>
      <c r="B44" s="5" t="n">
        <v>3</v>
      </c>
      <c r="C44" s="6" t="n">
        <v>5</v>
      </c>
      <c r="D44" s="7" t="n">
        <f aca="false">B44*C44</f>
        <v>15</v>
      </c>
      <c r="E44" s="8" t="s">
        <v>47</v>
      </c>
      <c r="F44" s="4" t="s">
        <v>82</v>
      </c>
    </row>
    <row r="45" customFormat="false" ht="15" hidden="false" customHeight="false" outlineLevel="0" collapsed="false">
      <c r="A45" s="2" t="s">
        <v>83</v>
      </c>
      <c r="B45" s="3"/>
      <c r="C45" s="3"/>
      <c r="D45" s="3"/>
      <c r="E45" s="3"/>
      <c r="F45" s="3"/>
    </row>
    <row r="46" customFormat="false" ht="15" hidden="false" customHeight="false" outlineLevel="0" collapsed="false">
      <c r="A46" s="4" t="s">
        <v>84</v>
      </c>
      <c r="B46" s="5" t="n">
        <v>100</v>
      </c>
      <c r="C46" s="6" t="n">
        <v>0.02</v>
      </c>
      <c r="D46" s="7" t="n">
        <f aca="false">B46*C46</f>
        <v>2</v>
      </c>
      <c r="E46" s="8" t="s">
        <v>8</v>
      </c>
      <c r="F46" s="4" t="s">
        <v>85</v>
      </c>
    </row>
    <row r="47" customFormat="false" ht="15" hidden="false" customHeight="false" outlineLevel="0" collapsed="false">
      <c r="A47" s="4" t="s">
        <v>86</v>
      </c>
      <c r="B47" s="5" t="n">
        <v>60</v>
      </c>
      <c r="C47" s="6" t="n">
        <v>0.08</v>
      </c>
      <c r="D47" s="7" t="n">
        <f aca="false">B47*C47</f>
        <v>4.8</v>
      </c>
      <c r="E47" s="8" t="s">
        <v>8</v>
      </c>
      <c r="F47" s="4" t="s">
        <v>87</v>
      </c>
    </row>
    <row r="48" customFormat="false" ht="15" hidden="false" customHeight="false" outlineLevel="0" collapsed="false">
      <c r="A48" s="4" t="s">
        <v>88</v>
      </c>
      <c r="B48" s="5" t="n">
        <v>10</v>
      </c>
      <c r="C48" s="6" t="n">
        <v>0.05</v>
      </c>
      <c r="D48" s="7" t="n">
        <f aca="false">B48*C48</f>
        <v>0.5</v>
      </c>
      <c r="E48" s="8" t="s">
        <v>8</v>
      </c>
      <c r="F48" s="4" t="s">
        <v>89</v>
      </c>
    </row>
    <row r="49" customFormat="false" ht="15" hidden="false" customHeight="false" outlineLevel="0" collapsed="false">
      <c r="A49" s="4" t="s">
        <v>90</v>
      </c>
      <c r="B49" s="5" t="n">
        <v>150</v>
      </c>
      <c r="C49" s="6" t="n">
        <v>0.02</v>
      </c>
      <c r="D49" s="7" t="n">
        <f aca="false">B49*C49</f>
        <v>3</v>
      </c>
      <c r="E49" s="8" t="s">
        <v>8</v>
      </c>
      <c r="F49" s="4" t="s">
        <v>91</v>
      </c>
    </row>
    <row r="50" customFormat="false" ht="15" hidden="false" customHeight="false" outlineLevel="0" collapsed="false">
      <c r="A50" s="2" t="s">
        <v>92</v>
      </c>
      <c r="B50" s="3"/>
      <c r="C50" s="3"/>
      <c r="D50" s="3"/>
      <c r="E50" s="3"/>
      <c r="F50" s="3"/>
    </row>
    <row r="51" customFormat="false" ht="15" hidden="false" customHeight="false" outlineLevel="0" collapsed="false">
      <c r="A51" s="4" t="s">
        <v>93</v>
      </c>
      <c r="B51" s="5" t="n">
        <v>4</v>
      </c>
      <c r="C51" s="6" t="n">
        <v>30</v>
      </c>
      <c r="D51" s="7" t="n">
        <f aca="false">B51*C51</f>
        <v>120</v>
      </c>
      <c r="E51" s="8" t="s">
        <v>33</v>
      </c>
      <c r="F51" s="4" t="s">
        <v>94</v>
      </c>
    </row>
    <row r="52" customFormat="false" ht="15" hidden="false" customHeight="false" outlineLevel="0" collapsed="false">
      <c r="A52" s="4" t="s">
        <v>95</v>
      </c>
      <c r="B52" s="5" t="n">
        <v>3</v>
      </c>
      <c r="C52" s="6" t="n">
        <v>15</v>
      </c>
      <c r="D52" s="7" t="n">
        <f aca="false">B52*C52</f>
        <v>45</v>
      </c>
      <c r="E52" s="8" t="s">
        <v>47</v>
      </c>
      <c r="F52" s="4" t="s">
        <v>96</v>
      </c>
    </row>
    <row r="53" customFormat="false" ht="15" hidden="false" customHeight="false" outlineLevel="0" collapsed="false">
      <c r="A53" s="4" t="s">
        <v>97</v>
      </c>
      <c r="B53" s="5" t="n">
        <v>3</v>
      </c>
      <c r="C53" s="6" t="n">
        <v>45</v>
      </c>
      <c r="D53" s="7" t="n">
        <f aca="false">B53*C53</f>
        <v>135</v>
      </c>
      <c r="E53" s="8" t="s">
        <v>47</v>
      </c>
      <c r="F53" s="4" t="s">
        <v>98</v>
      </c>
    </row>
    <row r="54" customFormat="false" ht="15" hidden="false" customHeight="false" outlineLevel="0" collapsed="false">
      <c r="A54" s="4" t="s">
        <v>99</v>
      </c>
      <c r="B54" s="5" t="n">
        <v>3</v>
      </c>
      <c r="C54" s="6" t="n">
        <v>20</v>
      </c>
      <c r="D54" s="7" t="n">
        <f aca="false">B54*C54</f>
        <v>60</v>
      </c>
      <c r="E54" s="8" t="s">
        <v>47</v>
      </c>
      <c r="F54" s="4" t="s">
        <v>47</v>
      </c>
    </row>
    <row r="55" customFormat="false" ht="15" hidden="false" customHeight="false" outlineLevel="0" collapsed="false">
      <c r="A55" s="4" t="s">
        <v>100</v>
      </c>
      <c r="B55" s="5" t="n">
        <v>4</v>
      </c>
      <c r="C55" s="6" t="n">
        <v>5</v>
      </c>
      <c r="D55" s="7" t="n">
        <f aca="false">B55*C55</f>
        <v>20</v>
      </c>
      <c r="E55" s="8" t="s">
        <v>33</v>
      </c>
      <c r="F55" s="4" t="s">
        <v>101</v>
      </c>
    </row>
    <row r="56" customFormat="false" ht="15" hidden="false" customHeight="false" outlineLevel="0" collapsed="false">
      <c r="A56" s="4" t="s">
        <v>102</v>
      </c>
      <c r="B56" s="5" t="n">
        <v>3</v>
      </c>
      <c r="C56" s="6" t="n">
        <v>5</v>
      </c>
      <c r="D56" s="7" t="n">
        <f aca="false">B56*C56</f>
        <v>15</v>
      </c>
      <c r="E56" s="8" t="s">
        <v>47</v>
      </c>
      <c r="F56" s="4" t="s">
        <v>103</v>
      </c>
    </row>
    <row r="57" customFormat="false" ht="15" hidden="false" customHeight="false" outlineLevel="0" collapsed="false">
      <c r="A57" s="4" t="s">
        <v>104</v>
      </c>
      <c r="B57" s="5" t="n">
        <v>3</v>
      </c>
      <c r="C57" s="6" t="n">
        <v>6</v>
      </c>
      <c r="D57" s="7" t="n">
        <f aca="false">B57*C57</f>
        <v>18</v>
      </c>
      <c r="E57" s="8" t="s">
        <v>47</v>
      </c>
      <c r="F57" s="4" t="s">
        <v>105</v>
      </c>
    </row>
    <row r="58" customFormat="false" ht="15" hidden="false" customHeight="false" outlineLevel="0" collapsed="false">
      <c r="A58" s="4" t="s">
        <v>106</v>
      </c>
      <c r="B58" s="5" t="n">
        <v>1</v>
      </c>
      <c r="C58" s="6" t="n">
        <v>40</v>
      </c>
      <c r="D58" s="7" t="n">
        <f aca="false">B58*C58</f>
        <v>40</v>
      </c>
      <c r="E58" s="8" t="s">
        <v>107</v>
      </c>
      <c r="F58" s="4" t="s">
        <v>108</v>
      </c>
    </row>
    <row r="59" customFormat="false" ht="15" hidden="false" customHeight="false" outlineLevel="0" collapsed="false">
      <c r="A59" s="9" t="s">
        <v>109</v>
      </c>
      <c r="B59" s="3"/>
      <c r="C59" s="3"/>
      <c r="D59" s="10" t="n">
        <f aca="false">SUM(D2:D58)</f>
        <v>1046.65</v>
      </c>
      <c r="E59" s="3"/>
      <c r="F59" s="3"/>
    </row>
    <row r="60" customFormat="false" ht="15" hidden="false" customHeight="false" outlineLevel="0" collapsed="false">
      <c r="A60" s="11" t="s">
        <v>110</v>
      </c>
      <c r="D60" s="12" t="n">
        <f aca="false">D59/3</f>
        <v>348.883333333333</v>
      </c>
    </row>
    <row r="62" customFormat="false" ht="15" hidden="false" customHeight="false" outlineLevel="0" collapsed="false">
      <c r="A62" s="13" t="s">
        <v>111</v>
      </c>
    </row>
    <row r="63" customFormat="false" ht="15" hidden="false" customHeight="false" outlineLevel="0" collapsed="false">
      <c r="A63" s="14" t="s">
        <v>112</v>
      </c>
    </row>
    <row r="64" customFormat="false" ht="15" hidden="false" customHeight="false" outlineLevel="0" collapsed="false">
      <c r="A64" s="14" t="s">
        <v>113</v>
      </c>
    </row>
    <row r="65" customFormat="false" ht="15" hidden="false" customHeight="false" outlineLevel="0" collapsed="false">
      <c r="A65" s="14" t="s">
        <v>114</v>
      </c>
    </row>
    <row r="66" customFormat="false" ht="15" hidden="false" customHeight="false" outlineLevel="0" collapsed="false">
      <c r="A66" s="14" t="s">
        <v>115</v>
      </c>
    </row>
    <row r="67" customFormat="false" ht="15" hidden="false" customHeight="false" outlineLevel="0" collapsed="false">
      <c r="A67" s="14" t="s">
        <v>116</v>
      </c>
    </row>
  </sheetData>
  <autoFilter ref="A1:F58"/>
  <hyperlinks>
    <hyperlink ref="E3" r:id="rId1" display="Mouser"/>
    <hyperlink ref="E4" r:id="rId2" display="Mouser"/>
    <hyperlink ref="E5" r:id="rId3" display="Mouser"/>
    <hyperlink ref="E6" r:id="rId4" display="Mouser"/>
    <hyperlink ref="E7" r:id="rId5" display="Mouser"/>
    <hyperlink ref="E8" r:id="rId6" display="Mouser"/>
    <hyperlink ref="E10" r:id="rId7" display="Mouser"/>
    <hyperlink ref="E11" r:id="rId8" display="Mouser"/>
    <hyperlink ref="E12" r:id="rId9" display="Mouser"/>
    <hyperlink ref="E14" r:id="rId10" display="Mouser"/>
    <hyperlink ref="E15" r:id="rId11" display="Mouser"/>
    <hyperlink ref="E16" r:id="rId12" display="Mouser"/>
    <hyperlink ref="E17" r:id="rId13" display="AliExpress"/>
    <hyperlink ref="E18" r:id="rId14" display="Mouser"/>
    <hyperlink ref="E19" r:id="rId15" display="Mouser"/>
    <hyperlink ref="E21" r:id="rId16" display="Mouser"/>
    <hyperlink ref="E22" r:id="rId17" display="Mouser"/>
    <hyperlink ref="E23" r:id="rId18" display="Mouser"/>
    <hyperlink ref="E24" r:id="rId19" display="Amazon"/>
    <hyperlink ref="E25" r:id="rId20" display="AliExpress"/>
    <hyperlink ref="E27" r:id="rId21" display="AliExpress"/>
    <hyperlink ref="E28" r:id="rId22" display="Mouser"/>
    <hyperlink ref="E29" r:id="rId23" display="Mouser"/>
    <hyperlink ref="E30" r:id="rId24" display="Mouser"/>
    <hyperlink ref="E31" r:id="rId25" display="Mouser"/>
    <hyperlink ref="E32" r:id="rId26" display="Mouser"/>
    <hyperlink ref="E33" r:id="rId27" display="Mouser"/>
    <hyperlink ref="E34" r:id="rId28" display="Mouser"/>
    <hyperlink ref="E35" r:id="rId29" display="Mouser"/>
    <hyperlink ref="E36" r:id="rId30" display="Mouser"/>
    <hyperlink ref="E37" r:id="rId31" display="Mouser"/>
    <hyperlink ref="E38" r:id="rId32" display="Mouser"/>
    <hyperlink ref="E40" r:id="rId33" display="Mouser"/>
    <hyperlink ref="E41" r:id="rId34" display="Mouser"/>
    <hyperlink ref="E42" r:id="rId35" display="Mouser"/>
    <hyperlink ref="E43" r:id="rId36" display="Mouser"/>
    <hyperlink ref="E44" r:id="rId37" display="Amazon"/>
    <hyperlink ref="E46" r:id="rId38" display="Mouser"/>
    <hyperlink ref="E47" r:id="rId39" display="Mouser"/>
    <hyperlink ref="E48" r:id="rId40" display="Mouser"/>
    <hyperlink ref="E49" r:id="rId41" display="Mouser"/>
    <hyperlink ref="E51" r:id="rId42" display="AliExpress"/>
    <hyperlink ref="E52" r:id="rId43" display="Amazon"/>
    <hyperlink ref="E53" r:id="rId44" display="Amazon"/>
    <hyperlink ref="E54" r:id="rId45" display="Amazon"/>
    <hyperlink ref="E55" r:id="rId46" display="AliExpress"/>
    <hyperlink ref="E56" r:id="rId47" display="Amazon"/>
    <hyperlink ref="E57" r:id="rId48" display="Amazon"/>
    <hyperlink ref="E58" r:id="rId49" display="JLCPC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2026-09-27T18:26:51Z</dcterms:created>
  <dc:creator>openpyxl</dc:creator>
  <dc:description/>
  <dc:language>en-US</dc:language>
  <cp:lastModifiedBy/>
  <dcterms:modified xsi:type="dcterms:W3CDTF">2026-09-27T18:26:51Z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